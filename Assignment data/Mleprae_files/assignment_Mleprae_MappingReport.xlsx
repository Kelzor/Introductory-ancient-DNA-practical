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zor/GoogleDrive/Github/Introductory-ancient-DNA-practical/Assignment data/Mleprae_files/"/>
    </mc:Choice>
  </mc:AlternateContent>
  <xr:revisionPtr revIDLastSave="0" documentId="13_ncr:1_{BE1B49FF-D75C-1241-99A2-ABBD04D7AE3E}" xr6:coauthVersionLast="47" xr6:coauthVersionMax="47" xr10:uidLastSave="{00000000-0000-0000-0000-000000000000}"/>
  <bookViews>
    <workbookView xWindow="120" yWindow="2440" windowWidth="30240" windowHeight="18460" xr2:uid="{00000000-000D-0000-FFFF-FFFF00000000}"/>
  </bookViews>
  <sheets>
    <sheet name="MlepraeMapping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4" i="1" l="1"/>
  <c r="D6" i="1"/>
  <c r="D17" i="1"/>
</calcChain>
</file>

<file path=xl/sharedStrings.xml><?xml version="1.0" encoding="utf-8"?>
<sst xmlns="http://schemas.openxmlformats.org/spreadsheetml/2006/main" count="35" uniqueCount="35">
  <si>
    <t>Sample Name</t>
  </si>
  <si>
    <t>%ref covered at &gt;=1x</t>
  </si>
  <si>
    <t>UF100</t>
  </si>
  <si>
    <t>UF101</t>
  </si>
  <si>
    <t>UF103</t>
  </si>
  <si>
    <t>UF104</t>
  </si>
  <si>
    <t>UF11</t>
  </si>
  <si>
    <t>UF18</t>
  </si>
  <si>
    <t>UF21</t>
  </si>
  <si>
    <t>UF25</t>
  </si>
  <si>
    <t>UF700</t>
  </si>
  <si>
    <t>UF701</t>
  </si>
  <si>
    <t>UF702</t>
  </si>
  <si>
    <t>UF703</t>
  </si>
  <si>
    <t>UF8</t>
  </si>
  <si>
    <t>UF800</t>
  </si>
  <si>
    <t>UF801</t>
  </si>
  <si>
    <t>UF802</t>
  </si>
  <si>
    <t>UF803</t>
  </si>
  <si>
    <t>Nr. Input reads</t>
  </si>
  <si>
    <t>Nr. Reads into Mapping (post trimming and merging)</t>
  </si>
  <si>
    <t>Proportion kept after trimming and merging (reads into mapping/input reads)</t>
  </si>
  <si>
    <t>Nr. Mapped Reads Passed Post-Filter</t>
  </si>
  <si>
    <t>Post-DeDup Mapped Reads</t>
  </si>
  <si>
    <t>ClusterFactor (value representing how many duplicates in the library exist for each unique read)</t>
  </si>
  <si>
    <t>Mean length of mapped reads</t>
  </si>
  <si>
    <t>Mean coverage</t>
  </si>
  <si>
    <t>%ref covered at &gt;=3x</t>
  </si>
  <si>
    <t>3 Prime G&gt;A 1st base (%)</t>
  </si>
  <si>
    <t>5 Prime C&gt;T 1st base (%)</t>
  </si>
  <si>
    <t>Endogenous DNA (%) (mapped reads/reads into mapping)</t>
  </si>
  <si>
    <t>UF102</t>
  </si>
  <si>
    <t>0.0X</t>
  </si>
  <si>
    <t>33.0X</t>
  </si>
  <si>
    <t>4.1X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</si>
</sst>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8" fillId="0" borderId="0" xfId="0" applyFont="1" applyBorder="1" applyAlignment="1">
      <alignment wrapText="1"/>
    </xf>
    <xf numFmtId="0" fontId="18" fillId="0" borderId="0" xfId="0" applyFont="1" applyBorder="1" applyAlignment="1">
      <alignment horizontal="center"/>
    </xf>
    <xf numFmtId="3" fontId="18" fillId="0" borderId="0" xfId="0" applyNumberFormat="1" applyFont="1" applyBorder="1" applyAlignment="1">
      <alignment horizontal="center"/>
    </xf>
    <xf numFmtId="3" fontId="19" fillId="0" borderId="0" xfId="0" applyNumberFormat="1" applyFont="1" applyBorder="1"/>
    <xf numFmtId="0" fontId="19" fillId="0" borderId="0" xfId="0" applyFont="1" applyBorder="1"/>
    <xf numFmtId="10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115" workbookViewId="0">
      <pane ySplit="1" topLeftCell="A2" activePane="bottomLeft" state="frozen"/>
      <selection pane="bottomLeft" activeCell="O1" sqref="O1"/>
    </sheetView>
  </sheetViews>
  <sheetFormatPr baseColWidth="10" defaultRowHeight="16" x14ac:dyDescent="0.2"/>
  <sheetData>
    <row r="1" spans="1:14" s="1" customFormat="1" ht="144" x14ac:dyDescent="0.2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1</v>
      </c>
      <c r="K1" s="3" t="s">
        <v>27</v>
      </c>
      <c r="L1" s="3" t="s">
        <v>28</v>
      </c>
      <c r="M1" s="3" t="s">
        <v>29</v>
      </c>
      <c r="N1" s="3" t="s">
        <v>30</v>
      </c>
    </row>
    <row r="2" spans="1:14" s="2" customFormat="1" x14ac:dyDescent="0.2">
      <c r="A2" s="4" t="s">
        <v>2</v>
      </c>
      <c r="B2" s="5">
        <v>2772296</v>
      </c>
      <c r="C2" s="6">
        <v>2324777</v>
      </c>
      <c r="D2" s="4"/>
      <c r="E2" s="7"/>
      <c r="F2" s="7"/>
      <c r="G2" s="7"/>
      <c r="H2" s="4"/>
      <c r="I2" s="7"/>
      <c r="J2" s="8"/>
      <c r="K2" s="8"/>
      <c r="L2" s="8"/>
      <c r="M2" s="8"/>
      <c r="N2" s="7"/>
    </row>
    <row r="3" spans="1:14" s="2" customFormat="1" x14ac:dyDescent="0.2">
      <c r="A3" s="4" t="s">
        <v>3</v>
      </c>
      <c r="B3" s="6">
        <v>28731857</v>
      </c>
      <c r="C3" s="6">
        <v>22830259</v>
      </c>
      <c r="D3" s="4"/>
      <c r="E3" s="6"/>
      <c r="F3" s="6"/>
      <c r="G3" s="7"/>
      <c r="H3" s="4"/>
      <c r="I3" s="7"/>
      <c r="J3" s="8"/>
      <c r="K3" s="8"/>
      <c r="L3" s="8"/>
      <c r="M3" s="8"/>
      <c r="N3" s="7"/>
    </row>
    <row r="4" spans="1:14" s="2" customFormat="1" x14ac:dyDescent="0.2">
      <c r="A4" s="4" t="s">
        <v>31</v>
      </c>
      <c r="B4" s="6">
        <v>3823834</v>
      </c>
      <c r="C4" s="6">
        <v>3318405</v>
      </c>
      <c r="D4" s="4"/>
      <c r="E4" s="7"/>
      <c r="F4" s="7"/>
      <c r="G4" s="7"/>
      <c r="H4" s="4"/>
      <c r="I4" s="7"/>
      <c r="J4" s="8"/>
      <c r="K4" s="8"/>
      <c r="L4" s="8"/>
      <c r="M4" s="8"/>
      <c r="N4" s="7"/>
    </row>
    <row r="5" spans="1:14" s="2" customFormat="1" x14ac:dyDescent="0.2">
      <c r="A5" s="4" t="s">
        <v>4</v>
      </c>
      <c r="B5" s="6">
        <v>6540074</v>
      </c>
      <c r="C5" s="6">
        <v>5775041</v>
      </c>
      <c r="D5" s="4"/>
      <c r="E5" s="6"/>
      <c r="F5" s="6"/>
      <c r="G5" s="7"/>
      <c r="H5" s="4"/>
      <c r="I5" s="7"/>
      <c r="J5" s="8"/>
      <c r="K5" s="8"/>
      <c r="L5" s="8"/>
      <c r="M5" s="8"/>
      <c r="N5" s="7"/>
    </row>
    <row r="6" spans="1:14" s="2" customFormat="1" x14ac:dyDescent="0.2">
      <c r="A6" s="4" t="s">
        <v>5</v>
      </c>
      <c r="B6" s="6">
        <v>3020661</v>
      </c>
      <c r="C6" s="6">
        <v>2285371</v>
      </c>
      <c r="D6" s="4">
        <f t="shared" ref="D3:D18" si="0">ROUND(C6/B6,2)</f>
        <v>0.76</v>
      </c>
      <c r="E6" s="7">
        <v>81</v>
      </c>
      <c r="F6" s="7">
        <v>68</v>
      </c>
      <c r="G6" s="7">
        <v>1.1599999999999999</v>
      </c>
      <c r="H6" s="4">
        <v>42</v>
      </c>
      <c r="I6" s="7" t="s">
        <v>32</v>
      </c>
      <c r="J6" s="8">
        <v>0</v>
      </c>
      <c r="K6" s="8">
        <v>0</v>
      </c>
      <c r="L6" s="8">
        <v>5.8999999999999997E-2</v>
      </c>
      <c r="M6" s="8">
        <v>0</v>
      </c>
      <c r="N6" s="7">
        <v>0.01</v>
      </c>
    </row>
    <row r="7" spans="1:14" s="2" customFormat="1" x14ac:dyDescent="0.2">
      <c r="A7" s="4" t="s">
        <v>6</v>
      </c>
      <c r="B7" s="6">
        <v>23951543</v>
      </c>
      <c r="C7" s="6">
        <v>20548311</v>
      </c>
      <c r="D7" s="4"/>
      <c r="E7" s="6"/>
      <c r="F7" s="6"/>
      <c r="G7" s="7"/>
      <c r="H7" s="4"/>
      <c r="I7" s="7"/>
      <c r="J7" s="8"/>
      <c r="K7" s="8"/>
      <c r="L7" s="8"/>
      <c r="M7" s="8"/>
      <c r="N7" s="7"/>
    </row>
    <row r="8" spans="1:14" s="2" customFormat="1" x14ac:dyDescent="0.2">
      <c r="A8" s="4" t="s">
        <v>7</v>
      </c>
      <c r="B8" s="6">
        <v>2674012</v>
      </c>
      <c r="C8" s="6">
        <v>2305341</v>
      </c>
      <c r="D8" s="4"/>
      <c r="E8" s="7"/>
      <c r="F8" s="7"/>
      <c r="G8" s="7"/>
      <c r="H8" s="4"/>
      <c r="I8" s="7"/>
      <c r="J8" s="8"/>
      <c r="K8" s="8"/>
      <c r="L8" s="8"/>
      <c r="M8" s="8"/>
      <c r="N8" s="7"/>
    </row>
    <row r="9" spans="1:14" s="2" customFormat="1" x14ac:dyDescent="0.2">
      <c r="A9" s="4" t="s">
        <v>8</v>
      </c>
      <c r="B9" s="6">
        <v>28790082</v>
      </c>
      <c r="C9" s="6">
        <v>22819419</v>
      </c>
      <c r="D9" s="4"/>
      <c r="E9" s="6"/>
      <c r="F9" s="6"/>
      <c r="G9" s="7"/>
      <c r="H9" s="4"/>
      <c r="I9" s="7"/>
      <c r="J9" s="8"/>
      <c r="K9" s="8"/>
      <c r="L9" s="8"/>
      <c r="M9" s="8"/>
      <c r="N9" s="7"/>
    </row>
    <row r="10" spans="1:14" s="2" customFormat="1" x14ac:dyDescent="0.2">
      <c r="A10" s="4" t="s">
        <v>9</v>
      </c>
      <c r="B10" s="6">
        <v>30946190</v>
      </c>
      <c r="C10" s="6">
        <v>28726574</v>
      </c>
      <c r="D10" s="4"/>
      <c r="E10" s="6"/>
      <c r="F10" s="6"/>
      <c r="G10" s="7"/>
      <c r="H10" s="4"/>
      <c r="I10" s="7"/>
      <c r="J10" s="8"/>
      <c r="K10" s="8"/>
      <c r="L10" s="8"/>
      <c r="M10" s="8"/>
      <c r="N10" s="7"/>
    </row>
    <row r="11" spans="1:14" s="2" customFormat="1" x14ac:dyDescent="0.2">
      <c r="A11" s="4" t="s">
        <v>10</v>
      </c>
      <c r="B11" s="6">
        <v>10297151</v>
      </c>
      <c r="C11" s="6">
        <v>8627262</v>
      </c>
      <c r="D11" s="4"/>
      <c r="E11" s="6"/>
      <c r="F11" s="6"/>
      <c r="G11" s="7"/>
      <c r="H11" s="4"/>
      <c r="I11" s="7"/>
      <c r="J11" s="8"/>
      <c r="K11" s="8"/>
      <c r="L11" s="8"/>
      <c r="M11" s="8"/>
      <c r="N11" s="7"/>
    </row>
    <row r="12" spans="1:14" s="2" customFormat="1" x14ac:dyDescent="0.2">
      <c r="A12" s="4" t="s">
        <v>11</v>
      </c>
      <c r="B12" s="6">
        <v>10373990</v>
      </c>
      <c r="C12" s="6">
        <v>9247261</v>
      </c>
      <c r="D12" s="4"/>
      <c r="E12" s="6"/>
      <c r="F12" s="7"/>
      <c r="G12" s="7"/>
      <c r="H12" s="4"/>
      <c r="I12" s="7"/>
      <c r="J12" s="8"/>
      <c r="K12" s="8"/>
      <c r="L12" s="8"/>
      <c r="M12" s="8"/>
      <c r="N12" s="7"/>
    </row>
    <row r="13" spans="1:14" s="2" customFormat="1" x14ac:dyDescent="0.2">
      <c r="A13" s="4" t="s">
        <v>12</v>
      </c>
      <c r="B13" s="6">
        <v>4863388</v>
      </c>
      <c r="C13" s="6">
        <v>4121009</v>
      </c>
      <c r="D13" s="4"/>
      <c r="E13" s="7"/>
      <c r="F13" s="7"/>
      <c r="G13" s="7"/>
      <c r="H13" s="4"/>
      <c r="I13" s="7"/>
      <c r="J13" s="8"/>
      <c r="K13" s="8"/>
      <c r="L13" s="8"/>
      <c r="M13" s="8"/>
      <c r="N13" s="7"/>
    </row>
    <row r="14" spans="1:14" s="2" customFormat="1" x14ac:dyDescent="0.2">
      <c r="A14" s="4" t="s">
        <v>13</v>
      </c>
      <c r="B14" s="6">
        <v>32009877</v>
      </c>
      <c r="C14" s="6">
        <v>27625645</v>
      </c>
      <c r="D14" s="4">
        <f t="shared" si="0"/>
        <v>0.86</v>
      </c>
      <c r="E14" s="6">
        <v>4304434</v>
      </c>
      <c r="F14" s="6">
        <v>1680880</v>
      </c>
      <c r="G14" s="7">
        <v>1.61</v>
      </c>
      <c r="H14" s="4">
        <v>64</v>
      </c>
      <c r="I14" s="7" t="s">
        <v>33</v>
      </c>
      <c r="J14" s="8">
        <v>0.97299999999999998</v>
      </c>
      <c r="K14" s="8">
        <v>0.95699999999999996</v>
      </c>
      <c r="L14" s="8">
        <v>5.0000000000000001E-3</v>
      </c>
      <c r="M14" s="8">
        <v>5.0000000000000001E-3</v>
      </c>
      <c r="N14" s="7">
        <v>18.09</v>
      </c>
    </row>
    <row r="15" spans="1:14" s="2" customFormat="1" x14ac:dyDescent="0.2">
      <c r="A15" s="4" t="s">
        <v>14</v>
      </c>
      <c r="B15" s="6">
        <v>28688669</v>
      </c>
      <c r="C15" s="6">
        <v>24407752</v>
      </c>
      <c r="D15" s="4"/>
      <c r="E15" s="6"/>
      <c r="F15" s="6"/>
      <c r="G15" s="7"/>
      <c r="H15" s="4"/>
      <c r="I15" s="7"/>
      <c r="J15" s="8"/>
      <c r="K15" s="8"/>
      <c r="L15" s="8"/>
      <c r="M15" s="8"/>
      <c r="N15" s="7"/>
    </row>
    <row r="16" spans="1:14" s="2" customFormat="1" x14ac:dyDescent="0.2">
      <c r="A16" s="4" t="s">
        <v>15</v>
      </c>
      <c r="B16" s="6">
        <v>79768678</v>
      </c>
      <c r="C16" s="6">
        <v>67293000</v>
      </c>
      <c r="D16" s="4"/>
      <c r="E16" s="6"/>
      <c r="F16" s="6"/>
      <c r="G16" s="7"/>
      <c r="H16" s="4"/>
      <c r="I16" s="7"/>
      <c r="J16" s="8"/>
      <c r="K16" s="8"/>
      <c r="L16" s="8"/>
      <c r="M16" s="8"/>
      <c r="N16" s="7"/>
    </row>
    <row r="17" spans="1:14" s="2" customFormat="1" x14ac:dyDescent="0.2">
      <c r="A17" s="4" t="s">
        <v>16</v>
      </c>
      <c r="B17" s="6">
        <v>39325539</v>
      </c>
      <c r="C17" s="6">
        <v>28814405</v>
      </c>
      <c r="D17" s="4">
        <f t="shared" si="0"/>
        <v>0.73</v>
      </c>
      <c r="E17" s="6">
        <v>646669</v>
      </c>
      <c r="F17" s="6">
        <v>190433</v>
      </c>
      <c r="G17" s="7">
        <v>1.71</v>
      </c>
      <c r="H17" s="4">
        <v>71</v>
      </c>
      <c r="I17" s="7" t="s">
        <v>34</v>
      </c>
      <c r="J17" s="8">
        <v>0.85699999999999998</v>
      </c>
      <c r="K17" s="8">
        <v>0.56799999999999995</v>
      </c>
      <c r="L17" s="8">
        <v>0.156</v>
      </c>
      <c r="M17" s="8">
        <v>0.16300000000000001</v>
      </c>
      <c r="N17" s="7">
        <v>2.66</v>
      </c>
    </row>
    <row r="18" spans="1:14" s="2" customFormat="1" x14ac:dyDescent="0.2">
      <c r="A18" s="4" t="s">
        <v>17</v>
      </c>
      <c r="B18" s="6">
        <v>1484158</v>
      </c>
      <c r="C18" s="6">
        <v>1333378</v>
      </c>
      <c r="D18" s="4"/>
      <c r="E18" s="7"/>
      <c r="F18" s="7"/>
      <c r="G18" s="7"/>
      <c r="H18" s="4"/>
      <c r="I18" s="7"/>
      <c r="J18" s="8"/>
      <c r="K18" s="8"/>
      <c r="L18" s="8"/>
      <c r="M18" s="8"/>
      <c r="N18" s="7"/>
    </row>
    <row r="19" spans="1:14" s="2" customFormat="1" x14ac:dyDescent="0.2">
      <c r="A19" s="4" t="s">
        <v>18</v>
      </c>
      <c r="B19" s="6">
        <v>88646862</v>
      </c>
      <c r="C19" s="6">
        <v>82111946</v>
      </c>
      <c r="D19" s="4"/>
      <c r="E19" s="6"/>
      <c r="F19" s="6"/>
      <c r="G19" s="7"/>
      <c r="H19" s="4"/>
      <c r="I19" s="7"/>
      <c r="J19" s="8"/>
      <c r="K19" s="8"/>
      <c r="L19" s="8"/>
      <c r="M19" s="8"/>
      <c r="N19" s="7"/>
    </row>
  </sheetData>
  <sortState xmlns:xlrd2="http://schemas.microsoft.com/office/spreadsheetml/2017/richdata2" ref="A2:N20">
    <sortCondition ref="A2:A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MlepraeMappingReport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BLEVINS, KELLY</cp:lastModifiedBy>
  <dcterms:created xsi:type="dcterms:W3CDTF">2022-03-01T10:08:13Z</dcterms:created>
  <dcterms:modified xsi:type="dcterms:W3CDTF">2026-04-16T11:36:46Z</dcterms:modified>
</cp:coreProperties>
</file>